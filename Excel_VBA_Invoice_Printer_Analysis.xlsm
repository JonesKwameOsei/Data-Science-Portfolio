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WAME\Documents\MyCousera courses\Projects Portfolio\Excel Projects\Excel VBA\"/>
    </mc:Choice>
  </mc:AlternateContent>
  <xr:revisionPtr revIDLastSave="0" documentId="13_ncr:1_{19DB955B-8F9E-4493-8804-CC2C4C1E9216}" xr6:coauthVersionLast="47" xr6:coauthVersionMax="47" xr10:uidLastSave="{00000000-0000-0000-0000-000000000000}"/>
  <bookViews>
    <workbookView xWindow="-120" yWindow="-120" windowWidth="29040" windowHeight="15720" tabRatio="869" firstSheet="1" activeTab="1" xr2:uid="{00000000-000D-0000-FFFF-FFFF00000000}"/>
  </bookViews>
  <sheets>
    <sheet name="Instruction" sheetId="1" state="hidden" r:id="rId1"/>
    <sheet name="Data Entry" sheetId="22" r:id="rId2"/>
    <sheet name="Table" sheetId="23" r:id="rId3"/>
    <sheet name="Invoice Template" sheetId="24" r:id="rId4"/>
    <sheet name="Printed Invoice for IVN_101" sheetId="26" r:id="rId5"/>
    <sheet name="Printed Invoice for IVN_103" sheetId="25" r:id="rId6"/>
    <sheet name="Customer Details" sheetId="14" r:id="rId7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  <definedName name="Total_Revenue">Table!$J$2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6" l="1"/>
  <c r="C15" i="26"/>
  <c r="C7" i="26"/>
  <c r="C14" i="26" s="1"/>
  <c r="B7" i="26"/>
  <c r="A7" i="26"/>
  <c r="B4" i="26"/>
  <c r="B2" i="26"/>
  <c r="C16" i="25"/>
  <c r="C15" i="25"/>
  <c r="C7" i="25"/>
  <c r="C14" i="25" s="1"/>
  <c r="B7" i="25"/>
  <c r="A7" i="25"/>
  <c r="B4" i="25"/>
  <c r="B2" i="25"/>
  <c r="C16" i="24"/>
  <c r="C15" i="24"/>
  <c r="C7" i="24"/>
  <c r="C14" i="24" s="1"/>
  <c r="B7" i="24"/>
  <c r="A7" i="24"/>
  <c r="B4" i="24"/>
  <c r="B2" i="24"/>
  <c r="A8" i="23"/>
  <c r="F8" i="23"/>
  <c r="H8" i="23" s="1"/>
  <c r="G8" i="23"/>
  <c r="A7" i="23"/>
  <c r="F7" i="23"/>
  <c r="G7" i="23" s="1"/>
  <c r="F6" i="23"/>
  <c r="H6" i="23" s="1"/>
  <c r="G6" i="23"/>
  <c r="F5" i="23"/>
  <c r="G5" i="23"/>
  <c r="A4" i="23"/>
  <c r="A5" i="23" s="1"/>
  <c r="A6" i="23" s="1"/>
  <c r="F4" i="23"/>
  <c r="G4" i="23"/>
  <c r="H4" i="23"/>
  <c r="G3" i="23"/>
  <c r="F2" i="23"/>
  <c r="G2" i="23" s="1"/>
  <c r="H2" i="23" s="1"/>
  <c r="F3" i="23"/>
  <c r="B1" i="1"/>
  <c r="H7" i="23" l="1"/>
  <c r="H5" i="23"/>
  <c r="H3" i="23"/>
  <c r="J2" i="23" l="1"/>
</calcChain>
</file>

<file path=xl/sharedStrings.xml><?xml version="1.0" encoding="utf-8"?>
<sst xmlns="http://schemas.openxmlformats.org/spreadsheetml/2006/main" count="88" uniqueCount="46">
  <si>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</si>
  <si>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</si>
  <si>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</si>
  <si>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</si>
  <si>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</si>
  <si>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</si>
  <si>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</si>
  <si>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</si>
  <si>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</si>
  <si>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</si>
  <si>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</si>
  <si>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</si>
  <si>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</si>
  <si>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</si>
  <si>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</si>
  <si>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</si>
  <si>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</si>
  <si>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</si>
  <si>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</si>
  <si>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</si>
  <si>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</si>
  <si>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</si>
  <si>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</si>
  <si>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</si>
  <si>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</si>
  <si>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</si>
  <si>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</si>
  <si>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</si>
  <si>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</si>
  <si>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</si>
  <si>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</si>
  <si>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</si>
  <si>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</si>
  <si>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</si>
  <si>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</si>
  <si>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</si>
  <si>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</si>
  <si>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</si>
  <si>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</si>
  <si>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</si>
  <si>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</si>
  <si>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</si>
  <si>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t>Less 5% Discount (For more than 10 hours service)</t>
  </si>
  <si>
    <t>Identify the Uses of Macros in Excel
Create Basic Macros to Automate Repetitive Tasks
Edit Macros to Extend their Functionality
Manage Macros Efficiently</t>
  </si>
  <si>
    <t>Rod Ltd</t>
  </si>
  <si>
    <t>Glory Accounting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</si>
</sst>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  <xf numFmtId="0" fontId="3" fillId="7" borderId="0" applyNumberFormat="0" applyBorder="0" applyAlignment="0" applyProtection="0"/>
  </cellStyleXfs>
  <cellXfs count="67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13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2" xfId="0" applyFont="1" applyFill="1" applyBorder="1"/>
    <xf numFmtId="0" fontId="13" fillId="0" borderId="10" xfId="0" applyFont="1" applyBorder="1"/>
    <xf numFmtId="0" fontId="13" fillId="4" borderId="10" xfId="0" applyFont="1" applyFill="1" applyBorder="1"/>
    <xf numFmtId="0" fontId="15" fillId="0" borderId="13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11" xfId="1" applyFont="1" applyBorder="1"/>
    <xf numFmtId="164" fontId="15" fillId="0" borderId="12" xfId="1" applyFont="1" applyBorder="1"/>
    <xf numFmtId="14" fontId="0" fillId="0" borderId="0" xfId="0" applyNumberFormat="1"/>
    <xf numFmtId="164" fontId="0" fillId="0" borderId="10" xfId="1" applyFont="1" applyBorder="1"/>
    <xf numFmtId="16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14" fontId="14" fillId="0" borderId="2" xfId="0" applyNumberFormat="1" applyFont="1" applyBorder="1"/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3" fillId="5" borderId="0" xfId="7" applyFill="1"/>
    <xf numFmtId="0" fontId="0" fillId="5" borderId="0" xfId="0" applyFill="1"/>
    <xf numFmtId="0" fontId="0" fillId="0" borderId="1" xfId="0" applyBorder="1"/>
  </cellXfs>
  <cellStyles count="8">
    <cellStyle name="Accent1" xfId="7" builtinId="29"/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B6231B6-CA5A-4107-9CD6-F876B19EA5F9}"/>
  </tableStyles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9525</xdr:colOff>
          <xdr:row>16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Button to move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records to Table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19050</xdr:rowOff>
        </xdr:from>
        <xdr:to>
          <xdr:col>8</xdr:col>
          <xdr:colOff>9525</xdr:colOff>
          <xdr:row>7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19050</xdr:rowOff>
        </xdr:from>
        <xdr:to>
          <xdr:col>8</xdr:col>
          <xdr:colOff>9525</xdr:colOff>
          <xdr:row>7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19050</xdr:rowOff>
        </xdr:from>
        <xdr:to>
          <xdr:col>8</xdr:col>
          <xdr:colOff>9525</xdr:colOff>
          <xdr:row>7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FFC27F-066C-4D1C-A324-0B5D596730B0}" name="tbl" displayName="tbl" ref="A1:H8" totalsRowShown="0" headerRowDxfId="9" dataDxfId="8" dataCellStyle="Currency">
  <autoFilter ref="A1:H8" xr:uid="{C4FFC27F-066C-4D1C-A324-0B5D596730B0}"/>
  <tableColumns count="8">
    <tableColumn id="1" xr3:uid="{65834DA9-8E75-465E-B5B0-3D5494BE05CC}" name="Invoice Number" dataDxfId="7"/>
    <tableColumn id="2" xr3:uid="{B3FBEFA1-EBF0-4735-BD95-8ED19BDE7927}" name="Date" dataDxfId="6"/>
    <tableColumn id="3" xr3:uid="{CC216D61-42CF-4E26-8C7F-CE3AF3EE5894}" name="Customer Name" dataDxfId="5"/>
    <tableColumn id="4" xr3:uid="{51F4214E-015A-4322-9DFC-E8507DAB4AC9}" name="Hours of Service Provided" dataDxfId="4"/>
    <tableColumn id="5" xr3:uid="{23A2BA59-EEB5-46F9-AD26-16326CB1EE40}" name="Fee per hour" dataDxfId="3" dataCellStyle="Currency"/>
    <tableColumn id="6" xr3:uid="{5B77C97D-BE16-4AE9-B622-FE82A4813395}" name="Total" dataDxfId="2" dataCellStyle="Currency">
      <calculatedColumnFormula>tbl[[#This Row],[Hours of Service Provided]]*tbl[[#This Row],[Fee per hour]]</calculatedColumnFormula>
    </tableColumn>
    <tableColumn id="7" xr3:uid="{676A6A50-48CA-430E-8D75-9461316E9230}" name="Discount" dataDxfId="1" dataCellStyle="Currency">
      <calculatedColumnFormula>IF(tbl[[#This Row],[Hours of Service Provided]]&gt;10,tbl[[#This Row],[Total]]*5%,0)</calculatedColumnFormula>
    </tableColumn>
    <tableColumn id="8" xr3:uid="{737B8EDD-73C0-46D9-B826-E8815B0E2E00}" name="Total Amount Due" dataDxfId="0" dataCellStyle="Currency">
      <calculatedColumnFormula>tbl[[#This Row],[Total]]-tbl[[#This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11"/>
  <sheetViews>
    <sheetView tabSelected="1" zoomScaleNormal="100" workbookViewId="0">
      <selection activeCell="E6" sqref="E6"/>
    </sheetView>
  </sheetViews>
  <sheetFormatPr defaultRowHeight="15"/>
  <cols>
    <col min="2" max="2" width="34.5703125" bestFit="1" customWidth="1"/>
    <col min="3" max="3" width="17.7109375" customWidth="1"/>
    <col min="4" max="6" width="16.28515625" bestFit="1" customWidth="1"/>
    <col min="7" max="7" width="20.7109375" bestFit="1" customWidth="1"/>
    <col min="8" max="8" width="24.140625" bestFit="1" customWidth="1"/>
    <col min="9" max="9" width="12.28515625" bestFit="1" customWidth="1"/>
    <col min="10" max="10" width="20.7109375" bestFit="1" customWidth="1"/>
    <col min="11" max="11" width="24.140625" bestFit="1" customWidth="1"/>
    <col min="12" max="12" width="12.28515625" bestFit="1" customWidth="1"/>
    <col min="13" max="13" width="12.7109375" bestFit="1" customWidth="1"/>
  </cols>
  <sheetData>
    <row r="2" spans="2:10" ht="36">
      <c r="B2" s="61" t="s">
        <v>37</v>
      </c>
      <c r="C2" s="61"/>
    </row>
    <row r="5" spans="2:10" ht="21">
      <c r="B5" s="13" t="s">
        <v>15</v>
      </c>
      <c r="E5" s="52">
        <v>42586</v>
      </c>
      <c r="G5" s="45" t="s">
        <v>15</v>
      </c>
      <c r="H5" s="45" t="s">
        <v>16</v>
      </c>
      <c r="I5" s="45" t="s">
        <v>27</v>
      </c>
      <c r="J5" s="45" t="s">
        <v>28</v>
      </c>
    </row>
    <row r="6" spans="2:10" ht="21">
      <c r="B6" s="15"/>
      <c r="C6" s="19"/>
      <c r="E6" s="16" t="s">
        <v>44</v>
      </c>
      <c r="G6" s="52">
        <v>42592</v>
      </c>
      <c r="H6" s="16" t="s">
        <v>33</v>
      </c>
      <c r="I6" s="17">
        <v>30</v>
      </c>
      <c r="J6" s="18">
        <v>55</v>
      </c>
    </row>
    <row r="7" spans="2:10" ht="21">
      <c r="B7" s="13" t="s">
        <v>16</v>
      </c>
      <c r="E7" s="17">
        <v>22</v>
      </c>
      <c r="G7" s="52">
        <v>42603</v>
      </c>
      <c r="H7" s="16" t="s">
        <v>34</v>
      </c>
      <c r="I7" s="17">
        <v>60</v>
      </c>
      <c r="J7" s="18">
        <v>52</v>
      </c>
    </row>
    <row r="8" spans="2:10" ht="21">
      <c r="B8" s="13" t="s">
        <v>27</v>
      </c>
      <c r="E8" s="18">
        <v>50</v>
      </c>
      <c r="G8" s="52">
        <v>42611</v>
      </c>
      <c r="H8" s="16" t="s">
        <v>35</v>
      </c>
      <c r="I8" s="17">
        <v>20</v>
      </c>
      <c r="J8" s="18">
        <v>54</v>
      </c>
    </row>
    <row r="9" spans="2:10" ht="21">
      <c r="B9" s="13" t="s">
        <v>28</v>
      </c>
      <c r="G9" s="14">
        <v>42614</v>
      </c>
      <c r="H9" s="16" t="s">
        <v>36</v>
      </c>
      <c r="I9" s="17">
        <v>9</v>
      </c>
      <c r="J9" s="18">
        <v>51</v>
      </c>
    </row>
    <row r="10" spans="2:10">
      <c r="C10" s="19"/>
    </row>
    <row r="11" spans="2:10">
      <c r="C11" s="19"/>
    </row>
  </sheetData>
  <mergeCells count="1"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ranfer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9"/>
  <sheetViews>
    <sheetView topLeftCell="D1" workbookViewId="0">
      <selection activeCell="D10" sqref="A10:XFD1048576"/>
    </sheetView>
  </sheetViews>
  <sheetFormatPr defaultColWidth="0" defaultRowHeight="15" zeroHeight="1"/>
  <cols>
    <col min="1" max="1" width="19" bestFit="1" customWidth="1"/>
    <col min="2" max="2" width="14.85546875" bestFit="1" customWidth="1"/>
    <col min="3" max="3" width="24" bestFit="1" customWidth="1"/>
    <col min="4" max="4" width="26.42578125" bestFit="1" customWidth="1"/>
    <col min="5" max="5" width="19.5703125" bestFit="1" customWidth="1"/>
    <col min="6" max="6" width="14.5703125" bestFit="1" customWidth="1"/>
    <col min="7" max="7" width="14.28515625" bestFit="1" customWidth="1"/>
    <col min="8" max="8" width="26.5703125" bestFit="1" customWidth="1"/>
    <col min="9" max="9" width="9.140625" customWidth="1"/>
    <col min="10" max="10" width="19.42578125" bestFit="1" customWidth="1"/>
    <col min="11" max="16384" width="9.140625" hidden="1"/>
  </cols>
  <sheetData>
    <row r="1" spans="1:10" ht="21">
      <c r="A1" s="20" t="s">
        <v>29</v>
      </c>
      <c r="B1" s="21" t="s">
        <v>15</v>
      </c>
      <c r="C1" s="21" t="s">
        <v>16</v>
      </c>
      <c r="D1" s="22" t="s">
        <v>27</v>
      </c>
      <c r="E1" s="21" t="s">
        <v>28</v>
      </c>
      <c r="F1" s="23" t="s">
        <v>20</v>
      </c>
      <c r="G1" s="23" t="s">
        <v>30</v>
      </c>
      <c r="H1" s="24" t="s">
        <v>31</v>
      </c>
      <c r="I1" s="25"/>
      <c r="J1" s="26" t="s">
        <v>32</v>
      </c>
    </row>
    <row r="2" spans="1:10" ht="23.25">
      <c r="A2" s="27">
        <v>100</v>
      </c>
      <c r="B2" s="28">
        <v>42583</v>
      </c>
      <c r="C2" s="29" t="s">
        <v>21</v>
      </c>
      <c r="D2" s="29">
        <v>20</v>
      </c>
      <c r="E2" s="30">
        <v>50</v>
      </c>
      <c r="F2" s="30">
        <f>tbl[[#This Row],[Hours of Service Provided]]*tbl[[#This Row],[Fee per hour]]</f>
        <v>1000</v>
      </c>
      <c r="G2" s="30">
        <f>IF(tbl[[#This Row],[Hours of Service Provided]]&gt;10,tbl[[#This Row],[Total]]*5%,0)</f>
        <v>50</v>
      </c>
      <c r="H2" s="31">
        <f>tbl[[#This Row],[Total]]-tbl[[#This Row],[Discount]]</f>
        <v>950</v>
      </c>
      <c r="I2" s="32"/>
      <c r="J2" s="35">
        <f>SUM(tbl[Total Amount Due])</f>
        <v>8419.5</v>
      </c>
    </row>
    <row r="3" spans="1:10" ht="18.75">
      <c r="A3" s="27">
        <v>101</v>
      </c>
      <c r="B3" s="28">
        <v>42584</v>
      </c>
      <c r="C3" s="29" t="s">
        <v>34</v>
      </c>
      <c r="D3" s="29">
        <v>8</v>
      </c>
      <c r="E3" s="30">
        <v>51</v>
      </c>
      <c r="F3" s="30">
        <f>tbl[[#This Row],[Hours of Service Provided]]*tbl[[#This Row],[Fee per hour]]</f>
        <v>408</v>
      </c>
      <c r="G3" s="30">
        <f>IF(tbl[[#This Row],[Hours of Service Provided]]&gt;10,tbl[[#This Row],[Total]]*5%,0)</f>
        <v>0</v>
      </c>
      <c r="H3" s="31">
        <f>tbl[[#This Row],[Total]]-tbl[[#This Row],[Discount]]</f>
        <v>408</v>
      </c>
    </row>
    <row r="4" spans="1:10" ht="21">
      <c r="A4" s="27">
        <f>A3+1</f>
        <v>102</v>
      </c>
      <c r="B4" s="28">
        <v>42586</v>
      </c>
      <c r="C4" s="16" t="s">
        <v>44</v>
      </c>
      <c r="D4" s="17">
        <v>22</v>
      </c>
      <c r="E4" s="18">
        <v>50</v>
      </c>
      <c r="F4" s="30">
        <f>tbl[[#This Row],[Hours of Service Provided]]*tbl[[#This Row],[Fee per hour]]</f>
        <v>1100</v>
      </c>
      <c r="G4" s="30">
        <f>IF(tbl[[#This Row],[Hours of Service Provided]]&gt;10,tbl[[#This Row],[Total]]*5%,0)</f>
        <v>55</v>
      </c>
      <c r="H4" s="31">
        <f>tbl[[#This Row],[Total]]-tbl[[#This Row],[Discount]]</f>
        <v>1045</v>
      </c>
    </row>
    <row r="5" spans="1:10" ht="21">
      <c r="A5" s="27">
        <f>A4+1</f>
        <v>103</v>
      </c>
      <c r="B5" s="28">
        <v>42592</v>
      </c>
      <c r="C5" s="16" t="s">
        <v>33</v>
      </c>
      <c r="D5" s="17">
        <v>30</v>
      </c>
      <c r="E5" s="18">
        <v>55</v>
      </c>
      <c r="F5" s="30">
        <f>tbl[[#This Row],[Hours of Service Provided]]*tbl[[#This Row],[Fee per hour]]</f>
        <v>1650</v>
      </c>
      <c r="G5" s="30">
        <f>IF(tbl[[#This Row],[Hours of Service Provided]]&gt;10,tbl[[#This Row],[Total]]*5%,0)</f>
        <v>82.5</v>
      </c>
      <c r="H5" s="31">
        <f>tbl[[#This Row],[Total]]-tbl[[#This Row],[Discount]]</f>
        <v>1567.5</v>
      </c>
    </row>
    <row r="6" spans="1:10" ht="21">
      <c r="A6" s="27">
        <f>A5+1</f>
        <v>104</v>
      </c>
      <c r="B6" s="28">
        <v>42603</v>
      </c>
      <c r="C6" s="16" t="s">
        <v>34</v>
      </c>
      <c r="D6" s="17">
        <v>60</v>
      </c>
      <c r="E6" s="18">
        <v>52</v>
      </c>
      <c r="F6" s="30">
        <f>tbl[[#This Row],[Hours of Service Provided]]*tbl[[#This Row],[Fee per hour]]</f>
        <v>3120</v>
      </c>
      <c r="G6" s="30">
        <f>IF(tbl[[#This Row],[Hours of Service Provided]]&gt;10,tbl[[#This Row],[Total]]*5%,0)</f>
        <v>156</v>
      </c>
      <c r="H6" s="31">
        <f>tbl[[#This Row],[Total]]-tbl[[#This Row],[Discount]]</f>
        <v>2964</v>
      </c>
    </row>
    <row r="7" spans="1:10" ht="21">
      <c r="A7" s="27">
        <f>A6+1</f>
        <v>105</v>
      </c>
      <c r="B7" s="28">
        <v>42611</v>
      </c>
      <c r="C7" s="16" t="s">
        <v>35</v>
      </c>
      <c r="D7" s="17">
        <v>20</v>
      </c>
      <c r="E7" s="18">
        <v>54</v>
      </c>
      <c r="F7" s="30">
        <f>tbl[[#This Row],[Hours of Service Provided]]*tbl[[#This Row],[Fee per hour]]</f>
        <v>1080</v>
      </c>
      <c r="G7" s="30">
        <f>IF(tbl[[#This Row],[Hours of Service Provided]]&gt;10,tbl[[#This Row],[Total]]*5%,0)</f>
        <v>54</v>
      </c>
      <c r="H7" s="31">
        <f>tbl[[#This Row],[Total]]-tbl[[#This Row],[Discount]]</f>
        <v>1026</v>
      </c>
    </row>
    <row r="8" spans="1:10" ht="21">
      <c r="A8" s="27">
        <f>A7+1</f>
        <v>106</v>
      </c>
      <c r="B8" s="28">
        <v>42614</v>
      </c>
      <c r="C8" s="16" t="s">
        <v>36</v>
      </c>
      <c r="D8" s="17">
        <v>9</v>
      </c>
      <c r="E8" s="18">
        <v>51</v>
      </c>
      <c r="F8" s="30">
        <f>tbl[[#This Row],[Hours of Service Provided]]*tbl[[#This Row],[Fee per hour]]</f>
        <v>459</v>
      </c>
      <c r="G8" s="30">
        <f>IF(tbl[[#This Row],[Hours of Service Provided]]&gt;10,tbl[[#This Row],[Total]]*5%,0)</f>
        <v>0</v>
      </c>
      <c r="H8" s="31">
        <f>tbl[[#This Row],[Total]]-tbl[[#This Row],[Discount]]</f>
        <v>459</v>
      </c>
    </row>
    <row r="9" spans="1:10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I29"/>
  <sheetViews>
    <sheetView showGridLines="0" workbookViewId="0">
      <selection activeCell="G15" sqref="G15"/>
    </sheetView>
  </sheetViews>
  <sheetFormatPr defaultColWidth="0" defaultRowHeight="15" zeroHeight="1"/>
  <cols>
    <col min="1" max="3" width="18.85546875" customWidth="1"/>
    <col min="4" max="9" width="9.140625" customWidth="1"/>
    <col min="10" max="16384" width="9.140625" hidden="1"/>
  </cols>
  <sheetData>
    <row r="1" spans="1:3">
      <c r="A1" s="64" t="s">
        <v>45</v>
      </c>
      <c r="B1" s="64"/>
      <c r="C1" s="65"/>
    </row>
    <row r="2" spans="1:3">
      <c r="A2" s="7" t="s">
        <v>26</v>
      </c>
      <c r="B2" t="str">
        <f>VLOOKUP($B$3,tbl[],MATCH("Customer Name",tbl[#Headers],0),FALSE)</f>
        <v>Sami Pty Ltd</v>
      </c>
    </row>
    <row r="3" spans="1:3">
      <c r="A3" s="7" t="s">
        <v>22</v>
      </c>
      <c r="B3">
        <v>100</v>
      </c>
    </row>
    <row r="4" spans="1:3">
      <c r="A4" s="7" t="s">
        <v>23</v>
      </c>
      <c r="B4" s="33">
        <f>VLOOKUP($B$3,tbl[],MATCH("Date",tbl[#Headers],0),FALSE)</f>
        <v>42583</v>
      </c>
    </row>
    <row r="5" spans="1:3"/>
    <row r="6" spans="1:3" ht="15.75">
      <c r="A6" s="12" t="s">
        <v>18</v>
      </c>
      <c r="B6" s="12" t="s">
        <v>19</v>
      </c>
      <c r="C6" s="12" t="s">
        <v>20</v>
      </c>
    </row>
    <row r="7" spans="1:3">
      <c r="A7" s="9">
        <f>INDEX(tbl[],MATCH($B$3,tbl[Invoice Number],0),MATCH("Hours of Service Provided",tbl[#Headers],0))</f>
        <v>20</v>
      </c>
      <c r="B7" s="9">
        <f>INDEX(tbl[],MATCH($B$3,tbl[Invoice Number],0),MATCH("Fee per hour",tbl[#Headers],0))</f>
        <v>50</v>
      </c>
      <c r="C7" s="34">
        <f>INDEX(tbl[],MATCH($B$3,tbl[Invoice Number],0),MATCH("Total",tbl[#Headers],0))</f>
        <v>1000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24</v>
      </c>
      <c r="B14" s="62"/>
      <c r="C14" s="11">
        <f>SUM(C7:C13)</f>
        <v>1000</v>
      </c>
    </row>
    <row r="15" spans="1:3">
      <c r="A15" s="63" t="s">
        <v>42</v>
      </c>
      <c r="B15" s="63"/>
      <c r="C15" s="66">
        <f>INDEX(tbl[],MATCH($B$3,tbl[Invoice Number],0),MATCH("Discount",tbl[#Headers],0))</f>
        <v>50</v>
      </c>
    </row>
    <row r="16" spans="1:3">
      <c r="A16" s="62" t="s">
        <v>25</v>
      </c>
      <c r="B16" s="62"/>
      <c r="C16" s="10">
        <f>INDEX(tbl[],MATCH($B$3,tbl[Invoice Number],0),MATCH("Total Amount Due",tbl[#Headers],0))</f>
        <v>950</v>
      </c>
    </row>
    <row r="17" customFormat="1"/>
    <row r="18" customFormat="1" hidden="1"/>
    <row r="19" customFormat="1" hidden="1"/>
    <row r="20" customFormat="1" hidden="1"/>
    <row r="21" customFormat="1" hidden="1"/>
    <row r="22" customFormat="1" hidden="1"/>
    <row r="23" customFormat="1" hidden="1"/>
    <row r="24" customFormat="1" hidden="1"/>
    <row r="25" customFormat="1" hidden="1"/>
    <row r="26" customFormat="1" hidden="1"/>
    <row r="27" customFormat="1" hidden="1"/>
    <row r="28" customFormat="1" hidden="1"/>
    <row r="29" customFormat="1" hidden="1"/>
  </sheetData>
  <mergeCells count="3">
    <mergeCell ref="A14:B14"/>
    <mergeCell ref="A15:B15"/>
    <mergeCell ref="A16:B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19050</xdr:rowOff>
              </from>
              <to>
                <xdr:col>8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1EC59-AE0F-4273-9F45-65E6FA63F966}">
  <sheetPr codeName="Sheet7">
    <tabColor rgb="FF92D050"/>
  </sheetPr>
  <dimension ref="A1:C16"/>
  <sheetViews>
    <sheetView workbookViewId="0">
      <selection activeCell="G36" sqref="G36"/>
    </sheetView>
  </sheetViews>
  <sheetFormatPr defaultRowHeight="15"/>
  <cols>
    <col min="1" max="3" width="18.85546875" customWidth="1"/>
  </cols>
  <sheetData>
    <row r="1" spans="1:3" ht="18.75">
      <c r="A1" s="8" t="s">
        <v>17</v>
      </c>
    </row>
    <row r="2" spans="1:3">
      <c r="A2" s="7" t="s">
        <v>26</v>
      </c>
      <c r="B2" t="str">
        <f>VLOOKUP($B$3,tbl[],MATCH("Customer Name",tbl[#Headers],0),FALSE)</f>
        <v>King Pty Ltd</v>
      </c>
    </row>
    <row r="3" spans="1:3">
      <c r="A3" s="7" t="s">
        <v>22</v>
      </c>
      <c r="B3">
        <v>101</v>
      </c>
    </row>
    <row r="4" spans="1:3">
      <c r="A4" s="7" t="s">
        <v>23</v>
      </c>
      <c r="B4" s="33">
        <f>VLOOKUP($B$3,tbl[],MATCH("Date",tbl[#Headers],0),FALSE)</f>
        <v>42584</v>
      </c>
    </row>
    <row r="6" spans="1:3" ht="15.75">
      <c r="A6" s="12" t="s">
        <v>18</v>
      </c>
      <c r="B6" s="12" t="s">
        <v>19</v>
      </c>
      <c r="C6" s="12" t="s">
        <v>20</v>
      </c>
    </row>
    <row r="7" spans="1:3">
      <c r="A7" s="9">
        <f>INDEX(tbl[],MATCH($B$3,tbl[Invoice Number],0),MATCH("Hours of Service Provided",tbl[#Headers],0))</f>
        <v>8</v>
      </c>
      <c r="B7" s="9">
        <f>INDEX(tbl[],MATCH($B$3,tbl[Invoice Number],0),MATCH("Fee per hour",tbl[#Headers],0))</f>
        <v>51</v>
      </c>
      <c r="C7" s="34">
        <f>INDEX(tbl[],MATCH($B$3,tbl[Invoice Number],0),MATCH("Total",tbl[#Headers],0))</f>
        <v>408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24</v>
      </c>
      <c r="B14" s="62"/>
      <c r="C14" s="11">
        <f>SUM(C7:C13)</f>
        <v>408</v>
      </c>
    </row>
    <row r="15" spans="1:3">
      <c r="A15" s="63" t="s">
        <v>42</v>
      </c>
      <c r="B15" s="63"/>
      <c r="C15" s="9">
        <f>INDEX(tbl[],MATCH($B$3,tbl[Invoice Number],0),MATCH("Discount",tbl[#Headers],0))</f>
        <v>0</v>
      </c>
    </row>
    <row r="16" spans="1:3">
      <c r="A16" s="62" t="s">
        <v>25</v>
      </c>
      <c r="B16" s="62"/>
      <c r="C16" s="9">
        <f>INDEX(tbl[],MATCH($B$3,tbl[Invoice Number],0),MATCH("Total Amount Due",tbl[#Headers],0))</f>
        <v>408</v>
      </c>
    </row>
  </sheetData>
  <mergeCells count="3">
    <mergeCell ref="A14:B14"/>
    <mergeCell ref="A15:B15"/>
    <mergeCell ref="A16:B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19050</xdr:rowOff>
              </from>
              <to>
                <xdr:col>8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E4300-088B-41DC-A665-E43EDCDE5476}">
  <sheetPr codeName="Sheet6">
    <tabColor rgb="FFFFFF00"/>
  </sheetPr>
  <dimension ref="A1:C16"/>
  <sheetViews>
    <sheetView workbookViewId="0">
      <selection activeCell="E20" sqref="E20"/>
    </sheetView>
  </sheetViews>
  <sheetFormatPr defaultRowHeight="15"/>
  <cols>
    <col min="1" max="3" width="18.85546875" customWidth="1"/>
  </cols>
  <sheetData>
    <row r="1" spans="1:3" ht="18.75">
      <c r="A1" s="8" t="s">
        <v>17</v>
      </c>
    </row>
    <row r="2" spans="1:3">
      <c r="A2" s="7" t="s">
        <v>26</v>
      </c>
      <c r="B2" t="str">
        <f>VLOOKUP($B$3,tbl[],MATCH("Customer Name",tbl[#Headers],0),FALSE)</f>
        <v>Loil Pty Ltd</v>
      </c>
    </row>
    <row r="3" spans="1:3">
      <c r="A3" s="7" t="s">
        <v>22</v>
      </c>
      <c r="B3">
        <v>103</v>
      </c>
    </row>
    <row r="4" spans="1:3">
      <c r="A4" s="7" t="s">
        <v>23</v>
      </c>
      <c r="B4" s="33">
        <f>VLOOKUP($B$3,tbl[],MATCH("Date",tbl[#Headers],0),FALSE)</f>
        <v>42592</v>
      </c>
    </row>
    <row r="6" spans="1:3" ht="15.75">
      <c r="A6" s="12" t="s">
        <v>18</v>
      </c>
      <c r="B6" s="12" t="s">
        <v>19</v>
      </c>
      <c r="C6" s="12" t="s">
        <v>20</v>
      </c>
    </row>
    <row r="7" spans="1:3">
      <c r="A7" s="9">
        <f>INDEX(tbl[],MATCH($B$3,tbl[Invoice Number],0),MATCH("Hours of Service Provided",tbl[#Headers],0))</f>
        <v>30</v>
      </c>
      <c r="B7" s="9">
        <f>INDEX(tbl[],MATCH($B$3,tbl[Invoice Number],0),MATCH("Fee per hour",tbl[#Headers],0))</f>
        <v>55</v>
      </c>
      <c r="C7" s="34">
        <f>INDEX(tbl[],MATCH($B$3,tbl[Invoice Number],0),MATCH("Total",tbl[#Headers],0))</f>
        <v>1650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24</v>
      </c>
      <c r="B14" s="62"/>
      <c r="C14" s="11">
        <f>SUM(C7:C13)</f>
        <v>1650</v>
      </c>
    </row>
    <row r="15" spans="1:3">
      <c r="A15" s="63" t="s">
        <v>42</v>
      </c>
      <c r="B15" s="63"/>
      <c r="C15" s="9">
        <f>INDEX(tbl[],MATCH($B$3,tbl[Invoice Number],0),MATCH("Discount",tbl[#Headers],0))</f>
        <v>82.5</v>
      </c>
    </row>
    <row r="16" spans="1:3">
      <c r="A16" s="62" t="s">
        <v>25</v>
      </c>
      <c r="B16" s="62"/>
      <c r="C16" s="9">
        <f>INDEX(tbl[],MATCH($B$3,tbl[Invoice Number],0),MATCH("Total Amount Due",tbl[#Headers],0))</f>
        <v>1567.5</v>
      </c>
    </row>
  </sheetData>
  <mergeCells count="3">
    <mergeCell ref="A14:B14"/>
    <mergeCell ref="A15:B15"/>
    <mergeCell ref="A16:B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19050</xdr:rowOff>
              </from>
              <to>
                <xdr:col>8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0"/>
  <sheetViews>
    <sheetView topLeftCell="A22" zoomScaleNormal="100" workbookViewId="0">
      <selection activeCell="C56" sqref="C56"/>
    </sheetView>
  </sheetViews>
  <sheetFormatPr defaultColWidth="9.85546875" defaultRowHeight="15"/>
  <cols>
    <col min="1" max="1" width="9.85546875" style="36"/>
    <col min="2" max="2" width="12.140625" style="36" customWidth="1"/>
    <col min="3" max="3" width="15.42578125" style="36" bestFit="1" customWidth="1"/>
    <col min="4" max="4" width="23.7109375" style="36" customWidth="1"/>
    <col min="5" max="5" width="12.7109375" style="36" customWidth="1"/>
    <col min="6" max="7" width="9.85546875" style="36"/>
    <col min="8" max="11" width="12.28515625" style="36" customWidth="1"/>
    <col min="12" max="12" width="39.5703125" style="36" customWidth="1"/>
    <col min="13" max="15" width="12.28515625" style="36" customWidth="1"/>
    <col min="16" max="16384" width="9.85546875" style="36"/>
  </cols>
  <sheetData>
    <row r="1" spans="1:15">
      <c r="G1" s="37"/>
    </row>
    <row r="2" spans="1:15" ht="34.5">
      <c r="G2" s="53" t="s">
        <v>12</v>
      </c>
      <c r="H2" s="54"/>
      <c r="I2" s="54"/>
      <c r="J2" s="54"/>
      <c r="K2" s="54"/>
      <c r="L2" s="54"/>
      <c r="M2" s="54"/>
      <c r="N2" s="54"/>
      <c r="O2" s="54"/>
    </row>
    <row r="3" spans="1:15">
      <c r="G3" s="37"/>
    </row>
    <row r="4" spans="1:15" ht="30">
      <c r="G4" s="55" t="s">
        <v>13</v>
      </c>
      <c r="H4" s="56"/>
      <c r="I4" s="56"/>
      <c r="J4" s="56"/>
      <c r="K4" s="56"/>
      <c r="L4" s="56"/>
      <c r="M4" s="56"/>
      <c r="N4" s="56"/>
      <c r="O4" s="56"/>
    </row>
    <row r="5" spans="1:15" ht="15.75" thickBot="1">
      <c r="G5" s="37"/>
    </row>
    <row r="6" spans="1:15" ht="32.25" thickBot="1">
      <c r="G6" s="37"/>
      <c r="H6" s="57" t="s">
        <v>11</v>
      </c>
      <c r="I6" s="58"/>
      <c r="J6" s="58"/>
      <c r="K6" s="58"/>
      <c r="L6" s="58"/>
      <c r="M6" s="58"/>
      <c r="N6" s="59"/>
      <c r="O6" s="38"/>
    </row>
    <row r="7" spans="1:15" s="39" customFormat="1"/>
    <row r="8" spans="1:15" s="39" customFormat="1"/>
    <row r="9" spans="1:15" s="39" customFormat="1"/>
    <row r="10" spans="1:15" ht="18.75" thickBot="1">
      <c r="A10" s="40" t="s">
        <v>14</v>
      </c>
      <c r="B10" s="40"/>
      <c r="C10" s="40"/>
      <c r="D10" s="40"/>
      <c r="E10" s="40"/>
      <c r="F10" s="40"/>
      <c r="G10" s="38"/>
      <c r="H10" s="39"/>
      <c r="I10" s="39"/>
      <c r="J10" s="39"/>
      <c r="K10" s="39"/>
      <c r="L10" s="39"/>
      <c r="M10" s="39"/>
      <c r="N10" s="39"/>
      <c r="O10" s="39"/>
    </row>
    <row r="11" spans="1:15" ht="12.6" customHeight="1" thickTop="1">
      <c r="A11" s="41"/>
      <c r="B11" s="41"/>
      <c r="C11" s="41"/>
      <c r="D11" s="41"/>
      <c r="E11" s="41"/>
      <c r="F11" s="41"/>
      <c r="G11" s="41"/>
      <c r="H11" s="39"/>
      <c r="I11" s="39"/>
      <c r="J11" s="39"/>
      <c r="K11" s="39"/>
      <c r="L11" s="39"/>
      <c r="M11" s="39"/>
      <c r="N11" s="39"/>
      <c r="O11" s="39"/>
    </row>
    <row r="12" spans="1:15" ht="63.6" customHeight="1">
      <c r="A12" s="60" t="s">
        <v>43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</row>
    <row r="13" spans="1:15" s="39" customFormat="1" ht="9" customHeight="1"/>
    <row r="14" spans="1:15" s="39" customFormat="1" ht="5.45" customHeight="1"/>
    <row r="15" spans="1:15" ht="18.75" thickBot="1">
      <c r="A15" s="40" t="s">
        <v>10</v>
      </c>
      <c r="B15" s="40"/>
      <c r="C15" s="40"/>
      <c r="D15" s="40"/>
      <c r="E15" s="40"/>
      <c r="F15" s="40"/>
      <c r="G15" s="38"/>
      <c r="H15" s="42"/>
      <c r="L15" s="43"/>
    </row>
    <row r="16" spans="1:15" ht="10.5" customHeight="1" thickTop="1">
      <c r="A16" s="41"/>
      <c r="B16" s="41"/>
      <c r="C16" s="41"/>
      <c r="D16" s="41"/>
      <c r="E16" s="41"/>
      <c r="F16" s="41"/>
      <c r="G16" s="41"/>
      <c r="H16" s="42"/>
    </row>
    <row r="17" spans="1:5" s="39" customFormat="1">
      <c r="A17" s="39" t="s">
        <v>38</v>
      </c>
    </row>
    <row r="18" spans="1:5" s="39" customFormat="1"/>
    <row r="19" spans="1:5" s="39" customFormat="1">
      <c r="A19" s="39" t="s">
        <v>41</v>
      </c>
    </row>
    <row r="20" spans="1:5" s="39" customFormat="1">
      <c r="A20" s="36" t="s">
        <v>40</v>
      </c>
    </row>
    <row r="21" spans="1:5" s="39" customFormat="1">
      <c r="A21" s="39" t="s">
        <v>39</v>
      </c>
    </row>
    <row r="22" spans="1:5" s="39" customFormat="1"/>
    <row r="23" spans="1:5" s="39" customFormat="1"/>
    <row r="24" spans="1:5">
      <c r="A24" s="44"/>
    </row>
    <row r="25" spans="1:5">
      <c r="A25" s="44"/>
      <c r="B25" s="45" t="s">
        <v>15</v>
      </c>
      <c r="C25" s="45" t="s">
        <v>16</v>
      </c>
      <c r="D25" s="45" t="s">
        <v>27</v>
      </c>
      <c r="E25" s="45" t="s">
        <v>28</v>
      </c>
    </row>
    <row r="26" spans="1:5">
      <c r="A26" s="44"/>
      <c r="B26" s="46">
        <v>42592</v>
      </c>
      <c r="C26" s="47" t="s">
        <v>33</v>
      </c>
      <c r="D26" s="48">
        <v>30</v>
      </c>
      <c r="E26" s="49">
        <v>55</v>
      </c>
    </row>
    <row r="27" spans="1:5">
      <c r="A27" s="44"/>
      <c r="B27" s="46">
        <v>42603</v>
      </c>
      <c r="C27" s="47" t="s">
        <v>34</v>
      </c>
      <c r="D27" s="48">
        <v>60</v>
      </c>
      <c r="E27" s="49">
        <v>52</v>
      </c>
    </row>
    <row r="28" spans="1:5">
      <c r="A28" s="44"/>
      <c r="B28" s="46">
        <v>42611</v>
      </c>
      <c r="C28" s="47" t="s">
        <v>35</v>
      </c>
      <c r="D28" s="48">
        <v>20</v>
      </c>
      <c r="E28" s="49">
        <v>54</v>
      </c>
    </row>
    <row r="29" spans="1:5">
      <c r="B29" s="50">
        <v>42614</v>
      </c>
      <c r="C29" s="47" t="s">
        <v>36</v>
      </c>
      <c r="D29" s="48">
        <v>9</v>
      </c>
      <c r="E29" s="49">
        <v>51</v>
      </c>
    </row>
    <row r="30" spans="1:5" s="39" customFormat="1"/>
    <row r="31" spans="1:5" s="39" customFormat="1"/>
    <row r="34" spans="1:1">
      <c r="A34" s="51"/>
    </row>
    <row r="35" spans="1:1">
      <c r="A35" s="44"/>
    </row>
    <row r="36" spans="1:1">
      <c r="A36" s="44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Instruction</vt:lpstr>
      <vt:lpstr>Data Entry</vt:lpstr>
      <vt:lpstr>Table</vt:lpstr>
      <vt:lpstr>Invoice Template</vt:lpstr>
      <vt:lpstr>Printed Invoice for IVN_101</vt:lpstr>
      <vt:lpstr>Printed Invoice for IVN_103</vt:lpstr>
      <vt:lpstr>Customer Details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  <vt:lpstr>Total_Revenue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KWAME</cp:lastModifiedBy>
  <dcterms:created xsi:type="dcterms:W3CDTF">2016-08-30T01:18:10Z</dcterms:created>
  <dcterms:modified xsi:type="dcterms:W3CDTF">2023-08-04T18:14:41Z</dcterms:modified>
</cp:coreProperties>
</file>